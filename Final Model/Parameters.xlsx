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shayoni_x_dutta_gsk_com/Documents/Desktop/Endometriosis/"/>
    </mc:Choice>
  </mc:AlternateContent>
  <xr:revisionPtr revIDLastSave="60" documentId="8_{F758E471-F012-4771-8B14-478FD2B99C6B}" xr6:coauthVersionLast="47" xr6:coauthVersionMax="47" xr10:uidLastSave="{1C8DA586-B3F3-4DC7-A999-AFE6A68BC0AD}"/>
  <bookViews>
    <workbookView xWindow="-120" yWindow="-120" windowWidth="29040" windowHeight="15840" xr2:uid="{2EC8F7B5-7CAB-4399-8754-35E96A4FC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O26" i="1"/>
  <c r="P22" i="1"/>
  <c r="P21" i="1"/>
  <c r="N22" i="1"/>
  <c r="N21" i="1"/>
  <c r="Q10" i="1"/>
  <c r="R2" i="1"/>
  <c r="P17" i="1"/>
  <c r="P16" i="1"/>
  <c r="J15" i="1"/>
  <c r="J14" i="1"/>
  <c r="D10" i="1"/>
  <c r="D12" i="1"/>
  <c r="B10" i="1"/>
  <c r="B12" i="1"/>
  <c r="B8" i="1"/>
</calcChain>
</file>

<file path=xl/sharedStrings.xml><?xml version="1.0" encoding="utf-8"?>
<sst xmlns="http://schemas.openxmlformats.org/spreadsheetml/2006/main" count="64" uniqueCount="55">
  <si>
    <t>parameter</t>
  </si>
  <si>
    <t>units</t>
  </si>
  <si>
    <t>calculationa</t>
  </si>
  <si>
    <t>source</t>
  </si>
  <si>
    <t>value</t>
  </si>
  <si>
    <t>ksynIGF1</t>
  </si>
  <si>
    <t>kdegIGF1</t>
  </si>
  <si>
    <t xml:space="preserve">% PAPP-A2 conc = 283 pg/ml= 0.283ng/ml, PAPPA2 MW = 250 KD nM = 0.283/(250) </t>
  </si>
  <si>
    <t>% IGFBP 120nM</t>
  </si>
  <si>
    <t>% %IGF1 conc= 120ng/ml, IGF1 MW = 7.649 KD nM = 120/7.649</t>
  </si>
  <si>
    <t>% IGF1 t1/2 = 0.033 hour, kdeg = ln(20)/0.033 /h</t>
  </si>
  <si>
    <t>%IGFBP T1/2 =16H</t>
  </si>
  <si>
    <t>log(2)/0.167</t>
  </si>
  <si>
    <t>log(2)/0.167 * 15.6883</t>
  </si>
  <si>
    <t>ksynIGFBP</t>
  </si>
  <si>
    <t>kdegIGFBP</t>
  </si>
  <si>
    <t>log(2)/16</t>
  </si>
  <si>
    <t>log(2)/16*120</t>
  </si>
  <si>
    <t>ksynIGFBPc</t>
  </si>
  <si>
    <t>kdegIGFBPc</t>
  </si>
  <si>
    <t>log(2)/16*80</t>
  </si>
  <si>
    <t>kcat</t>
  </si>
  <si>
    <t>% kcat = 0.41 uM =410nM</t>
  </si>
  <si>
    <t>Nm</t>
  </si>
  <si>
    <t>km</t>
  </si>
  <si>
    <t>h-1</t>
  </si>
  <si>
    <t xml:space="preserve">Kd </t>
  </si>
  <si>
    <t>kon</t>
  </si>
  <si>
    <t>koff</t>
  </si>
  <si>
    <t>koff = km/kcat*kon</t>
  </si>
  <si>
    <t>% t1/2 pappa2 = 100 h</t>
  </si>
  <si>
    <t>ksynPAPPA2</t>
  </si>
  <si>
    <t>kdegPAPPA2</t>
  </si>
  <si>
    <t>log(2)/100*0.0011</t>
  </si>
  <si>
    <t>log(2)/100</t>
  </si>
  <si>
    <t>km/kcat</t>
  </si>
  <si>
    <t>kd</t>
  </si>
  <si>
    <t xml:space="preserve">% PAPP-A conc = 40 ng/ml, PAPPA2 MW = 200 KD nM = 40/(200) </t>
  </si>
  <si>
    <t>https://www.frontiersin.org/articles/10.3389/fendo.2018.00031/full</t>
  </si>
  <si>
    <t>https://pubs.acs.org/doi/10.1021/bi062229i</t>
  </si>
  <si>
    <t>TOTAL IGF1 = bound +free = 600ng/ml = 600/7.6</t>
  </si>
  <si>
    <t>pappa2 =0.4 ng/ml = 0.4/250</t>
  </si>
  <si>
    <t xml:space="preserve">igfbp = 6000ng/ml = </t>
  </si>
  <si>
    <t>igf1 = 6ng/ml=</t>
  </si>
  <si>
    <t>PGE2 conc = 1000pg/ml= 1ng/ml  MW = 352465KDA</t>
  </si>
  <si>
    <t>kdeg = log(2)/15</t>
  </si>
  <si>
    <t>kdeg NO</t>
  </si>
  <si>
    <t>kdeg Arg</t>
  </si>
  <si>
    <t>kdeg = log(2)/1.06</t>
  </si>
  <si>
    <t>NO ss = 10nM</t>
  </si>
  <si>
    <t xml:space="preserve"> </t>
  </si>
  <si>
    <t>https://pubmed.ncbi.nlm.nih.gov/3114633/</t>
  </si>
  <si>
    <t>paper by Armin on t1/2 =100 for large molecules</t>
  </si>
  <si>
    <t>%data for fitting taken from OVAR5 cells : https://www.ncbi.nlm.nih.gov/pmc/articles/PMC4236724/</t>
  </si>
  <si>
    <t>Tumor parameter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</si>
</sst>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801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/>
    <xf numFmtId="0" fontId="2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2F75-B68B-48DF-8090-20AF26A16940}">
  <dimension ref="A1:R29"/>
  <sheetViews>
    <sheetView tabSelected="1" topLeftCell="A4" workbookViewId="0">
      <selection activeCell="B25" sqref="B25"/>
    </sheetView>
  </sheetViews>
  <sheetFormatPr defaultRowHeight="15" x14ac:dyDescent="0.25"/>
  <cols>
    <col min="1" max="1" width="12.5703125" customWidth="1"/>
    <col min="2" max="2" width="26.85546875" customWidth="1"/>
    <col min="5" max="5" width="8.85546875" style="3"/>
    <col min="8" max="8" width="33.85546875" customWidth="1"/>
    <col min="15" max="15" width="12" bestFit="1" customWidth="1"/>
  </cols>
  <sheetData>
    <row r="1" spans="1:18" x14ac:dyDescent="0.25">
      <c r="A1" t="s">
        <v>0</v>
      </c>
      <c r="B1" t="s">
        <v>4</v>
      </c>
      <c r="C1" t="s">
        <v>1</v>
      </c>
      <c r="D1" t="s">
        <v>2</v>
      </c>
      <c r="E1" s="3" t="s">
        <v>3</v>
      </c>
    </row>
    <row r="2" spans="1:18" x14ac:dyDescent="0.25">
      <c r="A2" t="s">
        <v>5</v>
      </c>
      <c r="B2" s="2" t="s">
        <v>13</v>
      </c>
      <c r="E2" s="3" t="s">
        <v>38</v>
      </c>
      <c r="I2" s="1" t="s">
        <v>7</v>
      </c>
      <c r="R2">
        <f>0.283/250</f>
        <v>1.132E-3</v>
      </c>
    </row>
    <row r="3" spans="1:18" x14ac:dyDescent="0.25">
      <c r="A3" t="s">
        <v>6</v>
      </c>
      <c r="B3" s="2" t="s">
        <v>12</v>
      </c>
      <c r="E3" s="3" t="s">
        <v>38</v>
      </c>
      <c r="I3" s="1" t="s">
        <v>8</v>
      </c>
    </row>
    <row r="4" spans="1:18" x14ac:dyDescent="0.25">
      <c r="A4" t="s">
        <v>18</v>
      </c>
      <c r="B4" s="2" t="s">
        <v>17</v>
      </c>
      <c r="E4" s="3" t="s">
        <v>38</v>
      </c>
      <c r="I4" s="1" t="s">
        <v>9</v>
      </c>
    </row>
    <row r="5" spans="1:18" x14ac:dyDescent="0.25">
      <c r="A5" t="s">
        <v>19</v>
      </c>
      <c r="B5" s="2" t="s">
        <v>16</v>
      </c>
      <c r="E5" s="3" t="s">
        <v>38</v>
      </c>
      <c r="I5" s="1" t="s">
        <v>10</v>
      </c>
    </row>
    <row r="6" spans="1:18" x14ac:dyDescent="0.25">
      <c r="A6" t="s">
        <v>14</v>
      </c>
      <c r="B6" s="2" t="s">
        <v>20</v>
      </c>
      <c r="E6" s="3" t="s">
        <v>38</v>
      </c>
      <c r="I6" s="1" t="s">
        <v>11</v>
      </c>
    </row>
    <row r="7" spans="1:18" x14ac:dyDescent="0.25">
      <c r="A7" t="s">
        <v>15</v>
      </c>
      <c r="B7" s="2" t="s">
        <v>16</v>
      </c>
      <c r="E7" s="3" t="s">
        <v>38</v>
      </c>
      <c r="I7" s="1" t="s">
        <v>22</v>
      </c>
    </row>
    <row r="8" spans="1:18" x14ac:dyDescent="0.25">
      <c r="A8" t="s">
        <v>21</v>
      </c>
      <c r="B8">
        <f>0.31*3600</f>
        <v>1116</v>
      </c>
      <c r="C8" t="s">
        <v>25</v>
      </c>
      <c r="D8">
        <v>3204</v>
      </c>
      <c r="E8" s="3" t="s">
        <v>39</v>
      </c>
      <c r="J8" t="s">
        <v>29</v>
      </c>
    </row>
    <row r="9" spans="1:18" x14ac:dyDescent="0.25">
      <c r="A9" t="s">
        <v>27</v>
      </c>
      <c r="B9">
        <v>1</v>
      </c>
      <c r="D9">
        <v>1</v>
      </c>
      <c r="E9" s="3" t="s">
        <v>39</v>
      </c>
      <c r="I9" s="1" t="s">
        <v>30</v>
      </c>
    </row>
    <row r="10" spans="1:18" x14ac:dyDescent="0.25">
      <c r="A10" t="s">
        <v>28</v>
      </c>
      <c r="B10">
        <f>B12*B9</f>
        <v>0.36738351254480289</v>
      </c>
      <c r="C10" t="s">
        <v>36</v>
      </c>
      <c r="D10">
        <f>D12*D9</f>
        <v>0.50873907615480651</v>
      </c>
      <c r="E10" s="3" t="s">
        <v>39</v>
      </c>
      <c r="I10" s="1" t="s">
        <v>37</v>
      </c>
      <c r="Q10">
        <f>40/200</f>
        <v>0.2</v>
      </c>
    </row>
    <row r="11" spans="1:18" x14ac:dyDescent="0.25">
      <c r="A11" t="s">
        <v>24</v>
      </c>
      <c r="B11">
        <v>410</v>
      </c>
      <c r="C11" t="s">
        <v>23</v>
      </c>
      <c r="D11">
        <v>1630</v>
      </c>
      <c r="E11" s="3" t="s">
        <v>39</v>
      </c>
    </row>
    <row r="12" spans="1:18" x14ac:dyDescent="0.25">
      <c r="A12" t="s">
        <v>26</v>
      </c>
      <c r="B12">
        <f>B11/B8</f>
        <v>0.36738351254480289</v>
      </c>
      <c r="C12" t="s">
        <v>35</v>
      </c>
      <c r="D12">
        <f>D11/D8</f>
        <v>0.50873907615480651</v>
      </c>
    </row>
    <row r="13" spans="1:18" x14ac:dyDescent="0.25">
      <c r="A13" t="s">
        <v>31</v>
      </c>
      <c r="B13" t="s">
        <v>33</v>
      </c>
      <c r="C13">
        <v>0</v>
      </c>
      <c r="E13" s="3" t="s">
        <v>52</v>
      </c>
    </row>
    <row r="14" spans="1:18" x14ac:dyDescent="0.25">
      <c r="A14" t="s">
        <v>32</v>
      </c>
      <c r="B14" t="s">
        <v>34</v>
      </c>
      <c r="J14">
        <f>40/200</f>
        <v>0.2</v>
      </c>
    </row>
    <row r="15" spans="1:18" x14ac:dyDescent="0.25">
      <c r="A15" t="s">
        <v>54</v>
      </c>
      <c r="J15">
        <f>0.283/250</f>
        <v>1.132E-3</v>
      </c>
    </row>
    <row r="16" spans="1:18" x14ac:dyDescent="0.25">
      <c r="A16" s="4" t="s">
        <v>53</v>
      </c>
      <c r="P16">
        <f>600/7.6</f>
        <v>78.94736842105263</v>
      </c>
    </row>
    <row r="17" spans="8:17" x14ac:dyDescent="0.25">
      <c r="P17">
        <f>0.4/250</f>
        <v>1.6000000000000001E-3</v>
      </c>
    </row>
    <row r="18" spans="8:17" x14ac:dyDescent="0.25">
      <c r="H18" t="s">
        <v>40</v>
      </c>
    </row>
    <row r="19" spans="8:17" x14ac:dyDescent="0.25">
      <c r="H19" t="s">
        <v>41</v>
      </c>
    </row>
    <row r="20" spans="8:17" x14ac:dyDescent="0.25">
      <c r="H20" t="s">
        <v>42</v>
      </c>
    </row>
    <row r="21" spans="8:17" x14ac:dyDescent="0.25">
      <c r="H21" t="s">
        <v>43</v>
      </c>
      <c r="N21">
        <f>35/250</f>
        <v>0.14000000000000001</v>
      </c>
      <c r="P21">
        <f>N22/N21</f>
        <v>8.0357142857142847</v>
      </c>
    </row>
    <row r="22" spans="8:17" x14ac:dyDescent="0.25">
      <c r="N22">
        <f>225/200</f>
        <v>1.125</v>
      </c>
      <c r="P22">
        <f>Q10/R2</f>
        <v>176.67844522968198</v>
      </c>
    </row>
    <row r="26" spans="8:17" x14ac:dyDescent="0.25">
      <c r="J26" t="s">
        <v>44</v>
      </c>
      <c r="O26">
        <f>1/352465</f>
        <v>2.8371611365667512E-6</v>
      </c>
      <c r="Q26" t="s">
        <v>51</v>
      </c>
    </row>
    <row r="28" spans="8:17" x14ac:dyDescent="0.25">
      <c r="J28" t="s">
        <v>49</v>
      </c>
      <c r="L28" t="s">
        <v>50</v>
      </c>
      <c r="M28">
        <f>900/60</f>
        <v>15</v>
      </c>
      <c r="N28" t="s">
        <v>45</v>
      </c>
      <c r="P28">
        <v>4.6199999999999998E-2</v>
      </c>
      <c r="Q28" t="s">
        <v>46</v>
      </c>
    </row>
    <row r="29" spans="8:17" x14ac:dyDescent="0.25">
      <c r="M29">
        <v>1.06</v>
      </c>
      <c r="N29" t="s">
        <v>48</v>
      </c>
      <c r="P29">
        <v>0.65390000000000004</v>
      </c>
      <c r="Q2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Shayoni Dutta</dc:creator>
  <cp:lastModifiedBy>Shayoni Dutta</cp:lastModifiedBy>
  <dcterms:created xsi:type="dcterms:W3CDTF">2023-06-08T16:34:04Z</dcterms:created>
  <dcterms:modified xsi:type="dcterms:W3CDTF">2023-12-20T00:25:11Z</dcterms:modified>
</cp:coreProperties>
</file>